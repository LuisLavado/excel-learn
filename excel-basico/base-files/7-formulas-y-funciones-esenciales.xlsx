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3AF2D377-740F-4119-9AE5-44B726DA928C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Operadores Básicos" sheetId="2" r:id="rId2"/>
    <sheet name="Referencias" sheetId="3" r:id="rId3"/>
    <sheet name="Comisiones de Ventas" sheetId="4" r:id="rId4"/>
    <sheet name="Areas" sheetId="5" r:id="rId5"/>
    <sheet name="Jerarquía Operadores" sheetId="6" r:id="rId6"/>
  </sheets>
  <externalReferences>
    <externalReference r:id="rId7"/>
  </externalReferences>
  <definedNames>
    <definedName name="Abril" localSheetId="4">#REF!</definedName>
    <definedName name="Abril" localSheetId="3">#REF!</definedName>
    <definedName name="Abril">#REF!</definedName>
    <definedName name="anscount">2</definedName>
    <definedName name="Apellido">'[1]27'!$C$15:$C$22</definedName>
    <definedName name="base_datos">'[1]76'!$A$58:$E$74</definedName>
    <definedName name="BudgetTab" localSheetId="4">#REF!</definedName>
    <definedName name="BudgetTab" localSheetId="3">#REF!</definedName>
    <definedName name="BudgetTab">#REF!</definedName>
    <definedName name="Carnicería" localSheetId="4">#REF!</definedName>
    <definedName name="Carnicería" localSheetId="3">#REF!</definedName>
    <definedName name="Carnicería">#REF!</definedName>
    <definedName name="Code">'[1]35'!$A$1:$A$12</definedName>
    <definedName name="Código" localSheetId="4">#REF!</definedName>
    <definedName name="Código" localSheetId="3">#REF!</definedName>
    <definedName name="Código">#REF!</definedName>
    <definedName name="Colegios" localSheetId="4">#REF!</definedName>
    <definedName name="Colegios" localSheetId="3">#REF!</definedName>
    <definedName name="Colegios">#REF!</definedName>
    <definedName name="Comida" localSheetId="4">#REF!</definedName>
    <definedName name="Comida" localSheetId="3">#REF!</definedName>
    <definedName name="Comida">#REF!</definedName>
    <definedName name="cuota">'[1]32'!$A$11:$D$28</definedName>
    <definedName name="Domicilio">'[1]27'!$D$15:$D$22</definedName>
    <definedName name="Elementos" localSheetId="4">#REF!</definedName>
    <definedName name="Elementos" localSheetId="3">#REF!</definedName>
    <definedName name="Elementos">#REF!</definedName>
    <definedName name="Enero" localSheetId="4">#REF!</definedName>
    <definedName name="Enero" localSheetId="3">#REF!</definedName>
    <definedName name="Enero">#REF!</definedName>
    <definedName name="ExtraCredit" localSheetId="4">#REF!</definedName>
    <definedName name="ExtraCredit" localSheetId="3">#REF!</definedName>
    <definedName name="ExtraCredit">#REF!</definedName>
    <definedName name="Febrero" localSheetId="4">#REF!</definedName>
    <definedName name="Febrero" localSheetId="3">#REF!</definedName>
    <definedName name="Febrero">#REF!</definedName>
    <definedName name="Fruta" localSheetId="4">#REF!</definedName>
    <definedName name="Fruta" localSheetId="3">#REF!</definedName>
    <definedName name="Fruta">#REF!</definedName>
    <definedName name="Gasolina" localSheetId="4">#REF!</definedName>
    <definedName name="Gasolina" localSheetId="3">#REF!</definedName>
    <definedName name="Gasolina">#REF!</definedName>
    <definedName name="Luz" localSheetId="4">#REF!</definedName>
    <definedName name="Luz" localSheetId="3">#REF!</definedName>
    <definedName name="Luz">#REF!</definedName>
    <definedName name="Marzo" localSheetId="4">#REF!</definedName>
    <definedName name="Marzo" localSheetId="3">#REF!</definedName>
    <definedName name="Marzo">#REF!</definedName>
    <definedName name="Marzo1" localSheetId="4">#REF!</definedName>
    <definedName name="Marzo1" localSheetId="3">#REF!</definedName>
    <definedName name="Marzo1">#REF!</definedName>
    <definedName name="MoreFruit" localSheetId="4">#REF!</definedName>
    <definedName name="MoreFruit" localSheetId="3">#REF!</definedName>
    <definedName name="MoreFruit">#REF!</definedName>
    <definedName name="MoreItem" localSheetId="4">#REF!</definedName>
    <definedName name="MoreItem" localSheetId="3">#REF!</definedName>
    <definedName name="MoreItem">#REF!</definedName>
    <definedName name="MoreItems" localSheetId="4">#REF!</definedName>
    <definedName name="MoreItems" localSheetId="3">#REF!</definedName>
    <definedName name="MoreItems">#REF!</definedName>
    <definedName name="Nombre">'[1]27'!$B$15:$B$22</definedName>
    <definedName name="Ocio" localSheetId="4">#REF!</definedName>
    <definedName name="Ocio" localSheetId="3">#REF!</definedName>
    <definedName name="Ocio">#REF!</definedName>
    <definedName name="Saldo_pdte.">'[1]27'!$F$15:$F$22</definedName>
    <definedName name="sencount">1</definedName>
    <definedName name="SUMAR.SI" localSheetId="4">#REF!</definedName>
    <definedName name="SUMAR.SI" localSheetId="3">#REF!</definedName>
    <definedName name="SUMAR.SI">#REF!</definedName>
    <definedName name="SUMExtraCredit" localSheetId="4">#REF!</definedName>
    <definedName name="SUMExtraCredit" localSheetId="3">#REF!</definedName>
    <definedName name="SUMExtraCredit">#REF!</definedName>
    <definedName name="SUMIFExtraCredit" localSheetId="4">#REF!</definedName>
    <definedName name="SUMIFExtraCredit" localSheetId="3">#REF!</definedName>
    <definedName name="SUMIFExtraCredit">#REF!</definedName>
    <definedName name="Teléfono" localSheetId="4">#REF!</definedName>
    <definedName name="Teléfono" localSheetId="3">#REF!</definedName>
    <definedName name="Teléfono">#REF!</definedName>
    <definedName name="Total" localSheetId="4">#REF!</definedName>
    <definedName name="Total" localSheetId="3">#REF!</definedName>
    <definedName name="Total">#REF!</definedName>
  </definedNames>
  <calcPr calcId="191029"/>
  <extLst>
    <ext uri="GoogleSheetsCustomDataVersion2">
      <go:sheetsCustomData xmlns:go="http://customooxmlschemas.google.com/" r:id="rId11" roundtripDataChecksum="i2L+I9YSUVrdnxmQpkAcBfQPAmX74iUJERi5sJ6izsg="/>
    </ext>
  </extLst>
</workbook>
</file>

<file path=xl/calcChain.xml><?xml version="1.0" encoding="utf-8"?>
<calcChain xmlns="http://schemas.openxmlformats.org/spreadsheetml/2006/main">
  <c r="E17" i="6" l="1"/>
  <c r="E16" i="6"/>
  <c r="E15" i="6"/>
  <c r="E14" i="6"/>
  <c r="E13" i="6"/>
  <c r="E12" i="6"/>
  <c r="E11" i="6"/>
  <c r="E10" i="6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I26" i="2"/>
</calcChain>
</file>

<file path=xl/sharedStrings.xml><?xml version="1.0" encoding="utf-8"?>
<sst xmlns="http://schemas.openxmlformats.org/spreadsheetml/2006/main" count="95" uniqueCount="86">
  <si>
    <t>Módulo 2</t>
  </si>
  <si>
    <t>Fórmulas y Funciones Esenciales</t>
  </si>
  <si>
    <t>El secreto de los pros: referencias que no se mueven</t>
  </si>
  <si>
    <t>Referencias relativas (A1), absolutas ($A$1), mixtas ($A1, A$1), copiar fórmulas correctamente</t>
  </si>
  <si>
    <t>Profe: @soydatadani</t>
  </si>
  <si>
    <t>Símbolo</t>
  </si>
  <si>
    <t>Función</t>
  </si>
  <si>
    <t>+</t>
  </si>
  <si>
    <t>Suma</t>
  </si>
  <si>
    <t>-</t>
  </si>
  <si>
    <t>Resta</t>
  </si>
  <si>
    <t>/</t>
  </si>
  <si>
    <t>Divide</t>
  </si>
  <si>
    <t>*</t>
  </si>
  <si>
    <t>Multiplica</t>
  </si>
  <si>
    <t>%</t>
  </si>
  <si>
    <t>Porcentaje (Divide entre 100)</t>
  </si>
  <si>
    <t>&amp;</t>
  </si>
  <si>
    <t>Concatenar</t>
  </si>
  <si>
    <t>Multiplicación</t>
  </si>
  <si>
    <t>^</t>
  </si>
  <si>
    <t>Elevar a</t>
  </si>
  <si>
    <t>=</t>
  </si>
  <si>
    <t>Igual</t>
  </si>
  <si>
    <t>División</t>
  </si>
  <si>
    <t>&gt;</t>
  </si>
  <si>
    <t>Mayor que</t>
  </si>
  <si>
    <t>&lt;</t>
  </si>
  <si>
    <t>Menor que</t>
  </si>
  <si>
    <t>Porcentaje</t>
  </si>
  <si>
    <t>&gt;=</t>
  </si>
  <si>
    <t>Mayor o igual que</t>
  </si>
  <si>
    <t>&lt;=</t>
  </si>
  <si>
    <t>Menor o Igual que</t>
  </si>
  <si>
    <t>&lt;&gt;</t>
  </si>
  <si>
    <t>No igual a</t>
  </si>
  <si>
    <t>Ejemplo: Absoluta</t>
  </si>
  <si>
    <t>Ejemplo Relativa</t>
  </si>
  <si>
    <t xml:space="preserve">Matrices, Rangos </t>
  </si>
  <si>
    <t>NOMBRE</t>
  </si>
  <si>
    <t>SUELDO USD</t>
  </si>
  <si>
    <t>SUELDO MXN</t>
  </si>
  <si>
    <t>Número de personas</t>
  </si>
  <si>
    <t>Dato 2</t>
  </si>
  <si>
    <t xml:space="preserve">Cálculo </t>
  </si>
  <si>
    <t>Juan Ramírez</t>
  </si>
  <si>
    <t>Pamela Vasquez</t>
  </si>
  <si>
    <t>Luis M. Perez</t>
  </si>
  <si>
    <t>Adriana Campos</t>
  </si>
  <si>
    <t>Eugenia Alfaro</t>
  </si>
  <si>
    <t>Vinicio Jimenez</t>
  </si>
  <si>
    <t>Geovanna Perez</t>
  </si>
  <si>
    <t>Dinia Meza</t>
  </si>
  <si>
    <t>William Monge</t>
  </si>
  <si>
    <t>Victor Rojas</t>
  </si>
  <si>
    <t>PRECIO DÓLAR</t>
  </si>
  <si>
    <t>X</t>
  </si>
  <si>
    <t>Ejemplo Mixta</t>
  </si>
  <si>
    <t>Fecha</t>
  </si>
  <si>
    <t>Venta</t>
  </si>
  <si>
    <t>Comisión de Venta</t>
  </si>
  <si>
    <t>Comisión de Crédito</t>
  </si>
  <si>
    <t>IVA</t>
  </si>
  <si>
    <t>Total</t>
  </si>
  <si>
    <t>Comisión Venta</t>
  </si>
  <si>
    <t>Comisión Crédito</t>
  </si>
  <si>
    <t>Simulador de precios por dimensiones</t>
  </si>
  <si>
    <t>Ancho</t>
  </si>
  <si>
    <t>Largo</t>
  </si>
  <si>
    <t>Nº DE CAJAS</t>
  </si>
  <si>
    <t>DESCRIPCIÓN</t>
  </si>
  <si>
    <t>PRECIO CAJA</t>
  </si>
  <si>
    <t>TOTAL IMPORTE</t>
  </si>
  <si>
    <t>FOLIOS</t>
  </si>
  <si>
    <t>LAPICEROS</t>
  </si>
  <si>
    <t>BOLIGRAFOS</t>
  </si>
  <si>
    <t>SOBRES</t>
  </si>
  <si>
    <t>PAPEL DE CARTA</t>
  </si>
  <si>
    <t>ETIQUETAS</t>
  </si>
  <si>
    <t>A4</t>
  </si>
  <si>
    <t>A3</t>
  </si>
  <si>
    <t>TOTAL BRUTO</t>
  </si>
  <si>
    <t>DESCUENTO (2.5%)</t>
  </si>
  <si>
    <t>IVA (16%)</t>
  </si>
  <si>
    <t>TOTAL IVA INCLUIDO</t>
  </si>
  <si>
    <t>3+5*2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</si>
</sst>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"/>
    <numFmt numFmtId="165" formatCode="&quot;$&quot;#,##0.00;[Red]\-&quot;$&quot;#,##0.00"/>
    <numFmt numFmtId="166" formatCode="&quot;$&quot;#,##0.00_);[Red]\(&quot;$&quot;#,##0.00\)"/>
    <numFmt numFmtId="167" formatCode="&quot;$&quot;#,##0.00;[Red]&quot;$&quot;#,##0.00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18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sz val="11"/>
      <color theme="1"/>
      <name val="IBM Plex Sans"/>
      <family val="2"/>
    </font>
    <font>
      <b/>
      <sz val="12"/>
      <color theme="0"/>
      <name val="IBM Plex Sans"/>
      <family val="2"/>
    </font>
    <font>
      <b/>
      <sz val="11"/>
      <color theme="1"/>
      <name val="IBM Plex Sans"/>
      <family val="2"/>
    </font>
    <font>
      <sz val="12"/>
      <color theme="1"/>
      <name val="IBM Plex Sans"/>
      <family val="2"/>
    </font>
    <font>
      <b/>
      <sz val="12"/>
      <color theme="1"/>
      <name val="IBM Plex Sans"/>
      <family val="2"/>
    </font>
    <font>
      <sz val="11"/>
      <name val="Aptos Narrow"/>
      <family val="2"/>
    </font>
    <font>
      <b/>
      <sz val="10"/>
      <color theme="0"/>
      <name val="IBM Plex Sans"/>
      <family val="2"/>
    </font>
    <font>
      <b/>
      <sz val="10"/>
      <color rgb="FF333333"/>
      <name val="IBM Plex Sans"/>
      <family val="2"/>
    </font>
    <font>
      <sz val="10"/>
      <color rgb="FF333333"/>
      <name val="IBM Plex Sans"/>
      <family val="2"/>
    </font>
    <font>
      <sz val="10"/>
      <color theme="1"/>
      <name val="IBM Plex Sans"/>
      <family val="2"/>
    </font>
    <font>
      <b/>
      <sz val="14"/>
      <color theme="1"/>
      <name val="IBM Plex Sans"/>
      <family val="2"/>
    </font>
    <font>
      <sz val="18"/>
      <color theme="1"/>
      <name val="IBM Plex Sans"/>
      <family val="2"/>
    </font>
    <font>
      <b/>
      <sz val="11"/>
      <color theme="0"/>
      <name val="IBM Plex Sans"/>
      <family val="2"/>
    </font>
    <font>
      <b/>
      <sz val="10"/>
      <color theme="1"/>
      <name val="IBM Plex Sans"/>
      <family val="2"/>
    </font>
    <font>
      <sz val="28"/>
      <color theme="1"/>
      <name val="IBM Plex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262626"/>
        <bgColor rgb="FF262626"/>
      </patternFill>
    </fill>
    <fill>
      <patternFill patternType="solid">
        <fgColor rgb="FFE8E8E8"/>
        <bgColor rgb="FFE8E8E8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227848"/>
      </left>
      <right style="thin">
        <color rgb="FF227848"/>
      </right>
      <top style="thin">
        <color rgb="FF227848"/>
      </top>
      <bottom style="thin">
        <color theme="0"/>
      </bottom>
      <diagonal/>
    </border>
    <border>
      <left/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227848"/>
      </left>
      <right style="thin">
        <color rgb="FF227848"/>
      </right>
      <top style="thin">
        <color theme="0"/>
      </top>
      <bottom style="thin">
        <color theme="0"/>
      </bottom>
      <diagonal/>
    </border>
    <border>
      <left style="thin">
        <color rgb="FF227848"/>
      </left>
      <right style="thin">
        <color rgb="FF227848"/>
      </right>
      <top style="thin">
        <color theme="0"/>
      </top>
      <bottom style="thin">
        <color rgb="FF22784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2" xfId="0" applyFont="1" applyFill="1" applyBorder="1"/>
    <xf numFmtId="0" fontId="8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4" borderId="7" xfId="0" applyFont="1" applyFill="1" applyBorder="1"/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/>
    <xf numFmtId="0" fontId="6" fillId="0" borderId="10" xfId="0" applyFont="1" applyBorder="1"/>
    <xf numFmtId="0" fontId="6" fillId="0" borderId="11" xfId="0" applyFont="1" applyBorder="1"/>
    <xf numFmtId="0" fontId="6" fillId="4" borderId="12" xfId="0" applyFont="1" applyFill="1" applyBorder="1"/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/>
    <xf numFmtId="0" fontId="9" fillId="0" borderId="0" xfId="0" applyFont="1"/>
    <xf numFmtId="0" fontId="6" fillId="0" borderId="15" xfId="0" applyFont="1" applyBorder="1"/>
    <xf numFmtId="0" fontId="6" fillId="0" borderId="16" xfId="0" applyFont="1" applyBorder="1"/>
    <xf numFmtId="0" fontId="6" fillId="4" borderId="17" xfId="0" applyFont="1" applyFill="1" applyBorder="1"/>
    <xf numFmtId="0" fontId="10" fillId="0" borderId="0" xfId="0" applyFont="1"/>
    <xf numFmtId="9" fontId="6" fillId="0" borderId="16" xfId="0" applyNumberFormat="1" applyFont="1" applyBorder="1"/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8" fillId="0" borderId="0" xfId="0" applyFont="1" applyAlignment="1">
      <alignment horizontal="center"/>
    </xf>
    <xf numFmtId="0" fontId="12" fillId="6" borderId="23" xfId="0" applyFont="1" applyFill="1" applyBorder="1" applyAlignment="1">
      <alignment horizontal="center" vertical="center" wrapText="1"/>
    </xf>
    <xf numFmtId="164" fontId="13" fillId="0" borderId="23" xfId="0" applyNumberFormat="1" applyFont="1" applyBorder="1" applyAlignment="1">
      <alignment horizontal="left" vertical="center"/>
    </xf>
    <xf numFmtId="164" fontId="14" fillId="0" borderId="23" xfId="0" applyNumberFormat="1" applyFont="1" applyBorder="1" applyAlignment="1">
      <alignment horizontal="left" vertical="center" wrapText="1"/>
    </xf>
    <xf numFmtId="1" fontId="13" fillId="0" borderId="23" xfId="0" applyNumberFormat="1" applyFont="1" applyBorder="1" applyAlignment="1">
      <alignment horizontal="left" vertical="center" wrapText="1"/>
    </xf>
    <xf numFmtId="0" fontId="15" fillId="0" borderId="0" xfId="0" applyFont="1"/>
    <xf numFmtId="0" fontId="12" fillId="6" borderId="23" xfId="0" applyFont="1" applyFill="1" applyBorder="1" applyAlignment="1">
      <alignment horizontal="left" vertical="center"/>
    </xf>
    <xf numFmtId="164" fontId="14" fillId="0" borderId="23" xfId="0" applyNumberFormat="1" applyFont="1" applyBorder="1" applyAlignment="1">
      <alignment horizontal="left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35" xfId="0" applyFont="1" applyBorder="1"/>
    <xf numFmtId="0" fontId="7" fillId="6" borderId="1" xfId="0" applyFont="1" applyFill="1" applyBorder="1"/>
    <xf numFmtId="0" fontId="8" fillId="7" borderId="1" xfId="0" applyFont="1" applyFill="1" applyBorder="1"/>
    <xf numFmtId="9" fontId="8" fillId="7" borderId="1" xfId="0" applyNumberFormat="1" applyFont="1" applyFill="1" applyBorder="1"/>
    <xf numFmtId="14" fontId="6" fillId="0" borderId="0" xfId="0" applyNumberFormat="1" applyFont="1"/>
    <xf numFmtId="165" fontId="6" fillId="0" borderId="0" xfId="0" applyNumberFormat="1" applyFont="1"/>
    <xf numFmtId="165" fontId="6" fillId="4" borderId="1" xfId="0" applyNumberFormat="1" applyFont="1" applyFill="1" applyBorder="1"/>
    <xf numFmtId="0" fontId="8" fillId="2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7" fillId="4" borderId="1" xfId="0" applyFont="1" applyFill="1" applyBorder="1"/>
    <xf numFmtId="0" fontId="18" fillId="3" borderId="1" xfId="0" applyFont="1" applyFill="1" applyBorder="1"/>
    <xf numFmtId="0" fontId="15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/>
    </xf>
    <xf numFmtId="166" fontId="15" fillId="0" borderId="36" xfId="0" applyNumberFormat="1" applyFont="1" applyBorder="1"/>
    <xf numFmtId="167" fontId="15" fillId="4" borderId="36" xfId="0" applyNumberFormat="1" applyFont="1" applyFill="1" applyBorder="1"/>
    <xf numFmtId="0" fontId="12" fillId="3" borderId="37" xfId="0" applyFont="1" applyFill="1" applyBorder="1" applyAlignment="1">
      <alignment horizontal="center"/>
    </xf>
    <xf numFmtId="167" fontId="15" fillId="0" borderId="38" xfId="0" applyNumberFormat="1" applyFont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167" fontId="19" fillId="0" borderId="38" xfId="0" applyNumberFormat="1" applyFont="1" applyBorder="1" applyAlignment="1">
      <alignment horizontal="center"/>
    </xf>
    <xf numFmtId="0" fontId="20" fillId="0" borderId="0" xfId="0" applyFont="1"/>
    <xf numFmtId="0" fontId="8" fillId="0" borderId="0" xfId="0" applyFont="1" applyAlignment="1">
      <alignment horizontal="center"/>
    </xf>
    <xf numFmtId="0" fontId="0" fillId="0" borderId="0" xfId="0"/>
    <xf numFmtId="0" fontId="8" fillId="0" borderId="22" xfId="0" applyFont="1" applyBorder="1" applyAlignment="1">
      <alignment horizontal="center"/>
    </xf>
    <xf numFmtId="0" fontId="11" fillId="0" borderId="22" xfId="0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133350</xdr:rowOff>
    </xdr:from>
    <xdr:ext cx="9315450" cy="742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7800" y="3418050"/>
          <a:ext cx="92964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Operadores Básicos</a:t>
          </a:r>
          <a:endParaRPr sz="3200" b="0">
            <a:solidFill>
              <a:schemeClr val="dk1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10</xdr:col>
      <xdr:colOff>695325</xdr:colOff>
      <xdr:row>23</xdr:row>
      <xdr:rowOff>133350</xdr:rowOff>
    </xdr:from>
    <xdr:ext cx="1762125" cy="419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474463" y="3579975"/>
          <a:ext cx="1743075" cy="40005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PRO Tip</a:t>
          </a:r>
          <a:endParaRPr sz="3200" b="1"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9</xdr:col>
      <xdr:colOff>180975</xdr:colOff>
      <xdr:row>21</xdr:row>
      <xdr:rowOff>114300</xdr:rowOff>
    </xdr:from>
    <xdr:ext cx="1228725" cy="11906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0</xdr:row>
      <xdr:rowOff>-152400</xdr:rowOff>
    </xdr:from>
    <xdr:ext cx="2190750" cy="223837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11811000" cy="742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3418050"/>
          <a:ext cx="106920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Referencias</a:t>
          </a:r>
          <a:endParaRPr sz="1400"/>
        </a:p>
      </xdr:txBody>
    </xdr:sp>
    <xdr:clientData fLocksWithSheet="0"/>
  </xdr:oneCellAnchor>
  <xdr:oneCellAnchor>
    <xdr:from>
      <xdr:col>9</xdr:col>
      <xdr:colOff>514350</xdr:colOff>
      <xdr:row>2</xdr:row>
      <xdr:rowOff>0</xdr:rowOff>
    </xdr:from>
    <xdr:ext cx="5391150" cy="19907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55188" y="2785590"/>
          <a:ext cx="5381625" cy="1988820"/>
        </a:xfrm>
        <a:prstGeom prst="roundRect">
          <a:avLst>
            <a:gd name="adj" fmla="val 16667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Referencias en Excel: 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endParaRPr sz="2000" b="1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Relativas: A1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Absolutas: $A$1</a:t>
          </a:r>
          <a:endParaRPr sz="1400"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IBM Plex Sans"/>
            <a:buNone/>
          </a:pPr>
          <a:r>
            <a:rPr lang="en-US" sz="2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             Mixtas: $A1  A$1</a:t>
          </a:r>
          <a:endParaRPr sz="2000" b="1"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9</xdr:col>
      <xdr:colOff>666750</xdr:colOff>
      <xdr:row>14</xdr:row>
      <xdr:rowOff>-9525</xdr:rowOff>
    </xdr:from>
    <xdr:ext cx="771525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fn</a:t>
          </a:r>
          <a:endParaRPr sz="1400"/>
        </a:p>
      </xdr:txBody>
    </xdr:sp>
    <xdr:clientData fLocksWithSheet="0"/>
  </xdr:oneCellAnchor>
  <xdr:oneCellAnchor>
    <xdr:from>
      <xdr:col>11</xdr:col>
      <xdr:colOff>352425</xdr:colOff>
      <xdr:row>14</xdr:row>
      <xdr:rowOff>-9525</xdr:rowOff>
    </xdr:from>
    <xdr:ext cx="771525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f4</a:t>
          </a:r>
          <a:endParaRPr sz="1400"/>
        </a:p>
      </xdr:txBody>
    </xdr:sp>
    <xdr:clientData fLocksWithSheet="0"/>
  </xdr:oneCellAnchor>
  <xdr:oneCellAnchor>
    <xdr:from>
      <xdr:col>11</xdr:col>
      <xdr:colOff>361950</xdr:colOff>
      <xdr:row>18</xdr:row>
      <xdr:rowOff>66675</xdr:rowOff>
    </xdr:from>
    <xdr:ext cx="771525" cy="676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f4</a:t>
          </a:r>
          <a:endParaRPr sz="1400"/>
        </a:p>
      </xdr:txBody>
    </xdr:sp>
    <xdr:clientData fLocksWithSheet="0"/>
  </xdr:oneCellAnchor>
  <xdr:oneCellAnchor>
    <xdr:from>
      <xdr:col>13</xdr:col>
      <xdr:colOff>285750</xdr:colOff>
      <xdr:row>13</xdr:row>
      <xdr:rowOff>161925</xdr:rowOff>
    </xdr:from>
    <xdr:ext cx="771525" cy="676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CMD</a:t>
          </a:r>
          <a:endParaRPr sz="1400"/>
        </a:p>
      </xdr:txBody>
    </xdr:sp>
    <xdr:clientData fLocksWithSheet="0"/>
  </xdr:oneCellAnchor>
  <xdr:oneCellAnchor>
    <xdr:from>
      <xdr:col>14</xdr:col>
      <xdr:colOff>762000</xdr:colOff>
      <xdr:row>13</xdr:row>
      <xdr:rowOff>161925</xdr:rowOff>
    </xdr:from>
    <xdr:ext cx="771525" cy="6762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969763" y="3451388"/>
          <a:ext cx="752475" cy="657225"/>
        </a:xfrm>
        <a:prstGeom prst="rect">
          <a:avLst/>
        </a:prstGeom>
        <a:solidFill>
          <a:srgbClr val="A5A5A5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</xdr:txBody>
    </xdr:sp>
    <xdr:clientData fLocksWithSheet="0"/>
  </xdr:oneCellAnchor>
  <xdr:oneCellAnchor>
    <xdr:from>
      <xdr:col>10</xdr:col>
      <xdr:colOff>762000</xdr:colOff>
      <xdr:row>14</xdr:row>
      <xdr:rowOff>161925</xdr:rowOff>
    </xdr:from>
    <xdr:ext cx="276225" cy="2857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12650" y="3641888"/>
          <a:ext cx="266700" cy="276225"/>
        </a:xfrm>
        <a:prstGeom prst="plus">
          <a:avLst>
            <a:gd name="adj" fmla="val 25000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361950</xdr:colOff>
      <xdr:row>14</xdr:row>
      <xdr:rowOff>161925</xdr:rowOff>
    </xdr:from>
    <xdr:ext cx="314325" cy="2857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plus">
          <a:avLst>
            <a:gd name="adj" fmla="val 25000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</xdr:row>
      <xdr:rowOff>66675</xdr:rowOff>
    </xdr:from>
    <xdr:ext cx="8582025" cy="7429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64513" y="3418050"/>
          <a:ext cx="8562975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Pro</a:t>
          </a:r>
          <a:r>
            <a:rPr lang="en-US" sz="3200" b="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en Referencias</a:t>
          </a:r>
          <a:endParaRPr sz="1400"/>
        </a:p>
      </xdr:txBody>
    </xdr:sp>
    <xdr:clientData fLocksWithSheet="0"/>
  </xdr:oneCellAnchor>
  <xdr:oneCellAnchor>
    <xdr:from>
      <xdr:col>3</xdr:col>
      <xdr:colOff>542925</xdr:colOff>
      <xdr:row>0</xdr:row>
      <xdr:rowOff>0</xdr:rowOff>
    </xdr:from>
    <xdr:ext cx="172402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1</xdr:row>
      <xdr:rowOff>-9525</xdr:rowOff>
    </xdr:from>
    <xdr:ext cx="6391275" cy="8477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159888" y="3365663"/>
          <a:ext cx="6372225" cy="828675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PRO en Referencias</a:t>
          </a:r>
          <a:endParaRPr sz="1400"/>
        </a:p>
      </xdr:txBody>
    </xdr:sp>
    <xdr:clientData fLocksWithSheet="0"/>
  </xdr:oneCellAnchor>
  <xdr:oneCellAnchor>
    <xdr:from>
      <xdr:col>7</xdr:col>
      <xdr:colOff>361950</xdr:colOff>
      <xdr:row>0</xdr:row>
      <xdr:rowOff>0</xdr:rowOff>
    </xdr:from>
    <xdr:ext cx="1781175" cy="15430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104775</xdr:rowOff>
    </xdr:from>
    <xdr:ext cx="10858500" cy="7429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0" y="3418050"/>
          <a:ext cx="10692000" cy="7239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0">
              <a:solidFill>
                <a:schemeClr val="dk1"/>
              </a:solidFill>
              <a:latin typeface="IBM Plex Sans"/>
              <a:ea typeface="IBM Plex Sans"/>
              <a:cs typeface="IBM Plex Sans"/>
              <a:sym typeface="IBM Plex Sans"/>
            </a:rPr>
            <a:t>Jerarquía de Operadores</a:t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7</xdr:row>
      <xdr:rowOff>123825</xdr:rowOff>
    </xdr:from>
    <xdr:ext cx="5610225" cy="1390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2545650" y="3089438"/>
          <a:ext cx="5600700" cy="138112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FÓRMULAS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IMPORTE = Nº DE CAJAS * PRECIO CAJA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BRUTO = SUMA DE TOTAL IMPORTE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DESCUENTO = TOTAL BRUTO * 2,5%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IVA = (TOTAL BRUTO - DESCUENTO) * .16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0" i="0" u="none" strike="noStrike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TOTAL IVA INCLUIDA = (TOTAL BRUTO - DESCUENTO) + IVA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</a:t>
          </a: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381000</xdr:colOff>
      <xdr:row>16</xdr:row>
      <xdr:rowOff>0</xdr:rowOff>
    </xdr:from>
    <xdr:ext cx="8172450" cy="32289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264538" y="2168370"/>
          <a:ext cx="8162925" cy="322326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La </a:t>
          </a: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jerarquía de operadores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en Excel es el orden en el que se realizan las operaciones en una fórmula. Recordarlo es clave para obtener resultados correctos:</a:t>
          </a:r>
          <a:b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Paréntesis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Se resuelven primero, lo que está dentro de ().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Exponenciación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Luego vienen las potencias (^).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Multiplicación y División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Siguen en orden de izquierda a derecha (*, /).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Suma y Resta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Se realizan al final también de izquierda a derecha (+, -).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entury Gothic"/>
            <a:buNone/>
          </a:pPr>
          <a:b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</a:br>
          <a:r>
            <a:rPr lang="en-US" sz="11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Ejemplo</a:t>
          </a:r>
          <a:r>
            <a:rPr lang="en-US" sz="1100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: En =3 + 5 * 2, Excel primero multiplica 5 por 2, luego suma 3, dando como resultado 13. Para cambiar el orden, usa paréntesis: =(3 + 5) * 2, lo que da 16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>
            <a:solidFill>
              <a:schemeClr val="lt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1762125</xdr:colOff>
      <xdr:row>0</xdr:row>
      <xdr:rowOff>9525</xdr:rowOff>
    </xdr:from>
    <xdr:ext cx="1504950" cy="13049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Clases\Inform&#225;tica%20IQS\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6" sqref="E6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baseColWidth="10" defaultColWidth="12.5703125" defaultRowHeight="15" customHeight="1" x14ac:dyDescent="0.25"/>
  <cols>
    <col min="1" max="1" width="11.42578125" customWidth="1"/>
    <col min="2" max="2" width="14.42578125" customWidth="1"/>
    <col min="3" max="3" width="31.42578125" customWidth="1"/>
    <col min="4" max="5" width="11.42578125" customWidth="1"/>
    <col min="6" max="6" width="18.42578125" customWidth="1"/>
    <col min="7" max="9" width="11.42578125" customWidth="1"/>
    <col min="10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7" t="s">
        <v>5</v>
      </c>
      <c r="C9" s="7" t="s">
        <v>6</v>
      </c>
      <c r="D9" s="6"/>
      <c r="E9" s="6"/>
      <c r="F9" s="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9" t="s">
        <v>7</v>
      </c>
      <c r="C10" s="10" t="s">
        <v>8</v>
      </c>
      <c r="D10" s="6"/>
      <c r="E10" s="6"/>
      <c r="F10" s="7" t="s">
        <v>8</v>
      </c>
      <c r="G10" s="11">
        <v>45</v>
      </c>
      <c r="H10" s="12">
        <v>67</v>
      </c>
      <c r="I10" s="1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14" t="s">
        <v>9</v>
      </c>
      <c r="C11" s="15" t="s">
        <v>10</v>
      </c>
      <c r="D11" s="6"/>
      <c r="E11" s="6"/>
      <c r="F11" s="7" t="s">
        <v>8</v>
      </c>
      <c r="G11" s="16">
        <v>56</v>
      </c>
      <c r="H11" s="17">
        <v>89</v>
      </c>
      <c r="I11" s="1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19" t="s">
        <v>11</v>
      </c>
      <c r="C12" s="20" t="s">
        <v>12</v>
      </c>
      <c r="D12" s="6"/>
      <c r="E12" s="6"/>
      <c r="F12" s="2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14" t="s">
        <v>13</v>
      </c>
      <c r="C13" s="15" t="s">
        <v>14</v>
      </c>
      <c r="D13" s="6"/>
      <c r="E13" s="6"/>
      <c r="F13" s="7" t="s">
        <v>10</v>
      </c>
      <c r="G13" s="22">
        <v>56</v>
      </c>
      <c r="H13" s="23">
        <v>23</v>
      </c>
      <c r="I13" s="2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19" t="s">
        <v>15</v>
      </c>
      <c r="C14" s="20" t="s">
        <v>16</v>
      </c>
      <c r="D14" s="6"/>
      <c r="E14" s="6"/>
      <c r="F14" s="2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14" t="s">
        <v>17</v>
      </c>
      <c r="C15" s="15" t="s">
        <v>18</v>
      </c>
      <c r="D15" s="6"/>
      <c r="E15" s="6"/>
      <c r="F15" s="7" t="s">
        <v>19</v>
      </c>
      <c r="G15" s="22">
        <v>45</v>
      </c>
      <c r="H15" s="23">
        <v>4</v>
      </c>
      <c r="I15" s="2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19" t="s">
        <v>20</v>
      </c>
      <c r="C16" s="20" t="s">
        <v>21</v>
      </c>
      <c r="D16" s="6"/>
      <c r="E16" s="6"/>
      <c r="F16" s="2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14" t="s">
        <v>22</v>
      </c>
      <c r="C17" s="15" t="s">
        <v>23</v>
      </c>
      <c r="D17" s="6"/>
      <c r="E17" s="6"/>
      <c r="F17" s="7" t="s">
        <v>24</v>
      </c>
      <c r="G17" s="22">
        <v>1478</v>
      </c>
      <c r="H17" s="23">
        <v>20</v>
      </c>
      <c r="I17" s="2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19" t="s">
        <v>25</v>
      </c>
      <c r="C18" s="20" t="s">
        <v>26</v>
      </c>
      <c r="D18" s="6"/>
      <c r="E18" s="6"/>
      <c r="F18" s="2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14" t="s">
        <v>27</v>
      </c>
      <c r="C19" s="15" t="s">
        <v>28</v>
      </c>
      <c r="D19" s="6"/>
      <c r="E19" s="6"/>
      <c r="F19" s="7" t="s">
        <v>29</v>
      </c>
      <c r="G19" s="22">
        <v>6000</v>
      </c>
      <c r="H19" s="23">
        <v>3</v>
      </c>
      <c r="I19" s="2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19" t="s">
        <v>30</v>
      </c>
      <c r="C20" s="20" t="s">
        <v>31</v>
      </c>
      <c r="D20" s="6"/>
      <c r="E20" s="6"/>
      <c r="F20" s="7" t="s">
        <v>29</v>
      </c>
      <c r="G20" s="22">
        <v>8000</v>
      </c>
      <c r="H20" s="26">
        <v>0.75</v>
      </c>
      <c r="I20" s="2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14" t="s">
        <v>32</v>
      </c>
      <c r="C21" s="15" t="s">
        <v>33</v>
      </c>
      <c r="D21" s="6"/>
      <c r="E21" s="6"/>
      <c r="F21" s="21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27" t="s">
        <v>34</v>
      </c>
      <c r="C22" s="28" t="s">
        <v>35</v>
      </c>
      <c r="D22" s="6"/>
      <c r="E22" s="6"/>
      <c r="F22" s="21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2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7" t="s">
        <v>8</v>
      </c>
      <c r="G26" s="29">
        <v>45</v>
      </c>
      <c r="H26" s="30">
        <v>67</v>
      </c>
      <c r="I26" s="24">
        <f>SUM(G26:H26)</f>
        <v>112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17.5703125" customWidth="1"/>
    <col min="3" max="3" width="13" customWidth="1"/>
    <col min="4" max="4" width="15.42578125" customWidth="1"/>
    <col min="5" max="6" width="11.42578125" customWidth="1"/>
    <col min="7" max="7" width="13" customWidth="1"/>
    <col min="8" max="9" width="11.42578125" customWidth="1"/>
    <col min="10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71" t="s">
        <v>36</v>
      </c>
      <c r="C9" s="72"/>
      <c r="D9" s="72"/>
      <c r="E9" s="6"/>
      <c r="F9" s="6"/>
      <c r="G9" s="71" t="s">
        <v>37</v>
      </c>
      <c r="H9" s="72"/>
      <c r="I9" s="7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73" t="s">
        <v>38</v>
      </c>
      <c r="C10" s="74"/>
      <c r="D10" s="74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2" t="s">
        <v>39</v>
      </c>
      <c r="C11" s="32" t="s">
        <v>40</v>
      </c>
      <c r="D11" s="32" t="s">
        <v>41</v>
      </c>
      <c r="E11" s="6"/>
      <c r="F11" s="6"/>
      <c r="G11" s="32" t="s">
        <v>42</v>
      </c>
      <c r="H11" s="32" t="s">
        <v>43</v>
      </c>
      <c r="I11" s="32" t="s">
        <v>44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3" t="s">
        <v>45</v>
      </c>
      <c r="C12" s="34">
        <v>300</v>
      </c>
      <c r="D12" s="34"/>
      <c r="E12" s="6"/>
      <c r="F12" s="6"/>
      <c r="G12" s="35">
        <v>1</v>
      </c>
      <c r="H12" s="34">
        <v>10</v>
      </c>
      <c r="I12" s="3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3" t="s">
        <v>46</v>
      </c>
      <c r="C13" s="34">
        <v>400</v>
      </c>
      <c r="D13" s="34"/>
      <c r="E13" s="6"/>
      <c r="F13" s="6"/>
      <c r="G13" s="35">
        <v>2</v>
      </c>
      <c r="H13" s="34">
        <v>9</v>
      </c>
      <c r="I13" s="3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3" t="s">
        <v>47</v>
      </c>
      <c r="C14" s="34">
        <v>200</v>
      </c>
      <c r="D14" s="34"/>
      <c r="E14" s="6"/>
      <c r="F14" s="6"/>
      <c r="G14" s="35">
        <v>3</v>
      </c>
      <c r="H14" s="34">
        <v>8</v>
      </c>
      <c r="I14" s="3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3" t="s">
        <v>48</v>
      </c>
      <c r="C15" s="34">
        <v>120</v>
      </c>
      <c r="D15" s="34"/>
      <c r="E15" s="6"/>
      <c r="F15" s="6"/>
      <c r="G15" s="35">
        <v>4</v>
      </c>
      <c r="H15" s="34">
        <v>7</v>
      </c>
      <c r="I15" s="34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3" t="s">
        <v>49</v>
      </c>
      <c r="C16" s="34">
        <v>150</v>
      </c>
      <c r="D16" s="34"/>
      <c r="E16" s="6"/>
      <c r="F16" s="6"/>
      <c r="G16" s="35">
        <v>5</v>
      </c>
      <c r="H16" s="34">
        <v>6</v>
      </c>
      <c r="I16" s="3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3" t="s">
        <v>50</v>
      </c>
      <c r="C17" s="34">
        <v>100</v>
      </c>
      <c r="D17" s="34"/>
      <c r="E17" s="6"/>
      <c r="F17" s="6"/>
      <c r="G17" s="35">
        <v>6</v>
      </c>
      <c r="H17" s="34">
        <v>5</v>
      </c>
      <c r="I17" s="3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3" t="s">
        <v>51</v>
      </c>
      <c r="C18" s="34">
        <v>500</v>
      </c>
      <c r="D18" s="34"/>
      <c r="E18" s="6"/>
      <c r="F18" s="6"/>
      <c r="G18" s="35">
        <v>7</v>
      </c>
      <c r="H18" s="34">
        <v>4</v>
      </c>
      <c r="I18" s="3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3" t="s">
        <v>52</v>
      </c>
      <c r="C19" s="34">
        <v>320</v>
      </c>
      <c r="D19" s="34"/>
      <c r="E19" s="6"/>
      <c r="F19" s="6"/>
      <c r="G19" s="35">
        <v>8</v>
      </c>
      <c r="H19" s="34">
        <v>3</v>
      </c>
      <c r="I19" s="3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33" t="s">
        <v>53</v>
      </c>
      <c r="C20" s="34">
        <v>300</v>
      </c>
      <c r="D20" s="34"/>
      <c r="E20" s="6"/>
      <c r="F20" s="6"/>
      <c r="G20" s="35">
        <v>9</v>
      </c>
      <c r="H20" s="34">
        <v>2</v>
      </c>
      <c r="I20" s="3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33" t="s">
        <v>54</v>
      </c>
      <c r="C21" s="34">
        <v>180</v>
      </c>
      <c r="D21" s="34"/>
      <c r="E21" s="6"/>
      <c r="F21" s="6"/>
      <c r="G21" s="35">
        <v>10</v>
      </c>
      <c r="H21" s="34">
        <v>1</v>
      </c>
      <c r="I21" s="3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36"/>
      <c r="C22" s="36"/>
      <c r="D22" s="3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36"/>
      <c r="D23" s="3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37" t="s">
        <v>55</v>
      </c>
      <c r="C24" s="38">
        <v>22</v>
      </c>
      <c r="D24" s="3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39">
        <v>2</v>
      </c>
      <c r="E29" s="6"/>
      <c r="F29" s="40">
        <v>1</v>
      </c>
      <c r="G29" s="41">
        <v>2</v>
      </c>
      <c r="H29" s="41">
        <v>3</v>
      </c>
      <c r="I29" s="42">
        <v>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43">
        <v>4</v>
      </c>
      <c r="E30" s="6"/>
      <c r="F30" s="44">
        <v>1</v>
      </c>
      <c r="G30" s="45">
        <v>2</v>
      </c>
      <c r="H30" s="45">
        <v>3</v>
      </c>
      <c r="I30" s="46">
        <v>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43">
        <v>5</v>
      </c>
      <c r="E31" s="31" t="s">
        <v>56</v>
      </c>
      <c r="F31" s="44">
        <v>1</v>
      </c>
      <c r="G31" s="45">
        <v>2</v>
      </c>
      <c r="H31" s="45">
        <v>3</v>
      </c>
      <c r="I31" s="46">
        <v>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71" t="s">
        <v>57</v>
      </c>
      <c r="B32" s="72"/>
      <c r="C32" s="72"/>
      <c r="D32" s="43">
        <v>6</v>
      </c>
      <c r="E32" s="6"/>
      <c r="F32" s="44">
        <v>1</v>
      </c>
      <c r="G32" s="45">
        <v>2</v>
      </c>
      <c r="H32" s="45">
        <v>3</v>
      </c>
      <c r="I32" s="46">
        <v>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47">
        <v>8</v>
      </c>
      <c r="E33" s="6"/>
      <c r="F33" s="48">
        <v>1</v>
      </c>
      <c r="G33" s="49">
        <v>2</v>
      </c>
      <c r="H33" s="49">
        <v>3</v>
      </c>
      <c r="I33" s="50">
        <v>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B9:D9"/>
    <mergeCell ref="G9:I9"/>
    <mergeCell ref="B10:D10"/>
    <mergeCell ref="A32:C3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F491"/>
  </sheetPr>
  <dimension ref="A1:Z1000"/>
  <sheetViews>
    <sheetView showGridLines="0" workbookViewId="0"/>
  </sheetViews>
  <sheetFormatPr baseColWidth="10" defaultColWidth="12.5703125" defaultRowHeight="15" customHeight="1" x14ac:dyDescent="0.25"/>
  <cols>
    <col min="1" max="1" width="12.5703125" customWidth="1"/>
    <col min="2" max="2" width="17.28515625" customWidth="1"/>
    <col min="3" max="3" width="21.85546875" customWidth="1"/>
    <col min="4" max="4" width="23" customWidth="1"/>
    <col min="5" max="5" width="18.5703125" customWidth="1"/>
    <col min="6" max="7" width="9.140625" customWidth="1"/>
    <col min="8" max="8" width="18.85546875" customWidth="1"/>
    <col min="9" max="9" width="5.42578125" customWidth="1"/>
    <col min="10" max="10" width="9.140625" customWidth="1"/>
    <col min="11" max="11" width="14.42578125" customWidth="1"/>
    <col min="12" max="13" width="9.42578125" customWidth="1"/>
    <col min="14" max="26" width="9.1406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51" t="s">
        <v>58</v>
      </c>
      <c r="B10" s="51" t="s">
        <v>59</v>
      </c>
      <c r="C10" s="51" t="s">
        <v>60</v>
      </c>
      <c r="D10" s="51" t="s">
        <v>61</v>
      </c>
      <c r="E10" s="51" t="s">
        <v>62</v>
      </c>
      <c r="F10" s="51" t="s">
        <v>63</v>
      </c>
      <c r="G10" s="6"/>
      <c r="H10" s="52" t="s">
        <v>64</v>
      </c>
      <c r="I10" s="53">
        <v>0.04</v>
      </c>
      <c r="J10" s="6"/>
      <c r="K10" s="52" t="s">
        <v>64</v>
      </c>
      <c r="L10" s="52" t="s">
        <v>65</v>
      </c>
      <c r="M10" s="52" t="s">
        <v>62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54">
        <f t="shared" ref="A11:A62" ca="1" si="0">TODAY()-RANDBETWEEN(1,60)</f>
        <v>45926</v>
      </c>
      <c r="B11" s="55">
        <f t="shared" ref="B11:B62" ca="1" si="1">RANDBETWEEN(500,5000)</f>
        <v>1987</v>
      </c>
      <c r="C11" s="56"/>
      <c r="D11" s="56"/>
      <c r="E11" s="56"/>
      <c r="F11" s="56"/>
      <c r="G11" s="6"/>
      <c r="H11" s="52" t="s">
        <v>65</v>
      </c>
      <c r="I11" s="53">
        <v>0.11</v>
      </c>
      <c r="J11" s="6"/>
      <c r="K11" s="53">
        <v>0.04</v>
      </c>
      <c r="L11" s="53">
        <v>0.11</v>
      </c>
      <c r="M11" s="53">
        <v>0.16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54">
        <f t="shared" ca="1" si="0"/>
        <v>45967</v>
      </c>
      <c r="B12" s="55">
        <f t="shared" ca="1" si="1"/>
        <v>565</v>
      </c>
      <c r="C12" s="56"/>
      <c r="D12" s="56"/>
      <c r="E12" s="56"/>
      <c r="F12" s="56"/>
      <c r="G12" s="6"/>
      <c r="H12" s="52" t="s">
        <v>62</v>
      </c>
      <c r="I12" s="53">
        <v>0.16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54">
        <f t="shared" ca="1" si="0"/>
        <v>45959</v>
      </c>
      <c r="B13" s="55">
        <f t="shared" ca="1" si="1"/>
        <v>1349</v>
      </c>
      <c r="C13" s="56"/>
      <c r="D13" s="56"/>
      <c r="E13" s="56"/>
      <c r="F13" s="5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54">
        <f t="shared" ca="1" si="0"/>
        <v>45963</v>
      </c>
      <c r="B14" s="55">
        <f t="shared" ca="1" si="1"/>
        <v>1250</v>
      </c>
      <c r="C14" s="56"/>
      <c r="D14" s="56"/>
      <c r="E14" s="56"/>
      <c r="F14" s="5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54">
        <f t="shared" ca="1" si="0"/>
        <v>45944</v>
      </c>
      <c r="B15" s="55">
        <f t="shared" ca="1" si="1"/>
        <v>4666</v>
      </c>
      <c r="C15" s="56"/>
      <c r="D15" s="56"/>
      <c r="E15" s="56"/>
      <c r="F15" s="5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54">
        <f t="shared" ca="1" si="0"/>
        <v>45929</v>
      </c>
      <c r="B16" s="55">
        <f t="shared" ca="1" si="1"/>
        <v>1479</v>
      </c>
      <c r="C16" s="56"/>
      <c r="D16" s="56"/>
      <c r="E16" s="56"/>
      <c r="F16" s="5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54">
        <f t="shared" ca="1" si="0"/>
        <v>45940</v>
      </c>
      <c r="B17" s="55">
        <f t="shared" ca="1" si="1"/>
        <v>3456</v>
      </c>
      <c r="C17" s="56"/>
      <c r="D17" s="56"/>
      <c r="E17" s="56"/>
      <c r="F17" s="5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54">
        <f t="shared" ca="1" si="0"/>
        <v>45932</v>
      </c>
      <c r="B18" s="55">
        <f t="shared" ca="1" si="1"/>
        <v>699</v>
      </c>
      <c r="C18" s="56"/>
      <c r="D18" s="56"/>
      <c r="E18" s="56"/>
      <c r="F18" s="5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54">
        <f t="shared" ca="1" si="0"/>
        <v>45970</v>
      </c>
      <c r="B19" s="55">
        <f t="shared" ca="1" si="1"/>
        <v>2696</v>
      </c>
      <c r="C19" s="56"/>
      <c r="D19" s="56"/>
      <c r="E19" s="56"/>
      <c r="F19" s="5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54">
        <f t="shared" ca="1" si="0"/>
        <v>45944</v>
      </c>
      <c r="B20" s="55">
        <f t="shared" ca="1" si="1"/>
        <v>2136</v>
      </c>
      <c r="C20" s="56"/>
      <c r="D20" s="56"/>
      <c r="E20" s="56"/>
      <c r="F20" s="5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54">
        <f t="shared" ca="1" si="0"/>
        <v>45965</v>
      </c>
      <c r="B21" s="55">
        <f t="shared" ca="1" si="1"/>
        <v>1822</v>
      </c>
      <c r="C21" s="56"/>
      <c r="D21" s="56"/>
      <c r="E21" s="56"/>
      <c r="F21" s="5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54">
        <f t="shared" ca="1" si="0"/>
        <v>45946</v>
      </c>
      <c r="B22" s="55">
        <f t="shared" ca="1" si="1"/>
        <v>4908</v>
      </c>
      <c r="C22" s="56"/>
      <c r="D22" s="56"/>
      <c r="E22" s="56"/>
      <c r="F22" s="5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54">
        <f t="shared" ca="1" si="0"/>
        <v>45941</v>
      </c>
      <c r="B23" s="55">
        <f t="shared" ca="1" si="1"/>
        <v>3843</v>
      </c>
      <c r="C23" s="56"/>
      <c r="D23" s="56"/>
      <c r="E23" s="56"/>
      <c r="F23" s="5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54">
        <f t="shared" ca="1" si="0"/>
        <v>45966</v>
      </c>
      <c r="B24" s="55">
        <f t="shared" ca="1" si="1"/>
        <v>2763</v>
      </c>
      <c r="C24" s="56"/>
      <c r="D24" s="56"/>
      <c r="E24" s="56"/>
      <c r="F24" s="5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54">
        <f t="shared" ca="1" si="0"/>
        <v>45941</v>
      </c>
      <c r="B25" s="55">
        <f t="shared" ca="1" si="1"/>
        <v>626</v>
      </c>
      <c r="C25" s="56"/>
      <c r="D25" s="56"/>
      <c r="E25" s="56"/>
      <c r="F25" s="5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54">
        <f t="shared" ca="1" si="0"/>
        <v>45966</v>
      </c>
      <c r="B26" s="55">
        <f t="shared" ca="1" si="1"/>
        <v>3514</v>
      </c>
      <c r="C26" s="56"/>
      <c r="D26" s="56"/>
      <c r="E26" s="56"/>
      <c r="F26" s="5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54">
        <f t="shared" ca="1" si="0"/>
        <v>45968</v>
      </c>
      <c r="B27" s="55">
        <f t="shared" ca="1" si="1"/>
        <v>4250</v>
      </c>
      <c r="C27" s="56"/>
      <c r="D27" s="56"/>
      <c r="E27" s="56"/>
      <c r="F27" s="5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54">
        <f t="shared" ca="1" si="0"/>
        <v>45951</v>
      </c>
      <c r="B28" s="55">
        <f t="shared" ca="1" si="1"/>
        <v>4912</v>
      </c>
      <c r="C28" s="56"/>
      <c r="D28" s="56"/>
      <c r="E28" s="56"/>
      <c r="F28" s="5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54">
        <f t="shared" ca="1" si="0"/>
        <v>45937</v>
      </c>
      <c r="B29" s="55">
        <f t="shared" ca="1" si="1"/>
        <v>2501</v>
      </c>
      <c r="C29" s="56"/>
      <c r="D29" s="56"/>
      <c r="E29" s="56"/>
      <c r="F29" s="5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54">
        <f t="shared" ca="1" si="0"/>
        <v>45963</v>
      </c>
      <c r="B30" s="55">
        <f t="shared" ca="1" si="1"/>
        <v>1198</v>
      </c>
      <c r="C30" s="56"/>
      <c r="D30" s="56"/>
      <c r="E30" s="56"/>
      <c r="F30" s="5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54">
        <f t="shared" ca="1" si="0"/>
        <v>45972</v>
      </c>
      <c r="B31" s="55">
        <f t="shared" ca="1" si="1"/>
        <v>3198</v>
      </c>
      <c r="C31" s="56"/>
      <c r="D31" s="56"/>
      <c r="E31" s="56"/>
      <c r="F31" s="5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54">
        <f t="shared" ca="1" si="0"/>
        <v>45972</v>
      </c>
      <c r="B32" s="55">
        <f t="shared" ca="1" si="1"/>
        <v>2064</v>
      </c>
      <c r="C32" s="56"/>
      <c r="D32" s="56"/>
      <c r="E32" s="56"/>
      <c r="F32" s="5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54">
        <f t="shared" ca="1" si="0"/>
        <v>45966</v>
      </c>
      <c r="B33" s="55">
        <f t="shared" ca="1" si="1"/>
        <v>1868</v>
      </c>
      <c r="C33" s="56"/>
      <c r="D33" s="56"/>
      <c r="E33" s="56"/>
      <c r="F33" s="5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54">
        <f t="shared" ca="1" si="0"/>
        <v>45955</v>
      </c>
      <c r="B34" s="55">
        <f t="shared" ca="1" si="1"/>
        <v>1407</v>
      </c>
      <c r="C34" s="56"/>
      <c r="D34" s="56"/>
      <c r="E34" s="56"/>
      <c r="F34" s="5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54">
        <f t="shared" ca="1" si="0"/>
        <v>45941</v>
      </c>
      <c r="B35" s="55">
        <f t="shared" ca="1" si="1"/>
        <v>3830</v>
      </c>
      <c r="C35" s="56"/>
      <c r="D35" s="56"/>
      <c r="E35" s="56"/>
      <c r="F35" s="5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54">
        <f t="shared" ca="1" si="0"/>
        <v>45949</v>
      </c>
      <c r="B36" s="55">
        <f t="shared" ca="1" si="1"/>
        <v>1091</v>
      </c>
      <c r="C36" s="56"/>
      <c r="D36" s="56"/>
      <c r="E36" s="56"/>
      <c r="F36" s="5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54">
        <f t="shared" ca="1" si="0"/>
        <v>45946</v>
      </c>
      <c r="B37" s="55">
        <f t="shared" ca="1" si="1"/>
        <v>1184</v>
      </c>
      <c r="C37" s="56"/>
      <c r="D37" s="56"/>
      <c r="E37" s="56"/>
      <c r="F37" s="5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54">
        <f t="shared" ca="1" si="0"/>
        <v>45920</v>
      </c>
      <c r="B38" s="55">
        <f t="shared" ca="1" si="1"/>
        <v>3936</v>
      </c>
      <c r="C38" s="56"/>
      <c r="D38" s="56"/>
      <c r="E38" s="56"/>
      <c r="F38" s="5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54">
        <f t="shared" ca="1" si="0"/>
        <v>45973</v>
      </c>
      <c r="B39" s="55">
        <f t="shared" ca="1" si="1"/>
        <v>3243</v>
      </c>
      <c r="C39" s="56"/>
      <c r="D39" s="56"/>
      <c r="E39" s="56"/>
      <c r="F39" s="5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54">
        <f t="shared" ca="1" si="0"/>
        <v>45954</v>
      </c>
      <c r="B40" s="55">
        <f t="shared" ca="1" si="1"/>
        <v>3389</v>
      </c>
      <c r="C40" s="56"/>
      <c r="D40" s="56"/>
      <c r="E40" s="56"/>
      <c r="F40" s="5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54">
        <f t="shared" ca="1" si="0"/>
        <v>45934</v>
      </c>
      <c r="B41" s="55">
        <f t="shared" ca="1" si="1"/>
        <v>3236</v>
      </c>
      <c r="C41" s="56"/>
      <c r="D41" s="56"/>
      <c r="E41" s="56"/>
      <c r="F41" s="5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54">
        <f t="shared" ca="1" si="0"/>
        <v>45949</v>
      </c>
      <c r="B42" s="55">
        <f t="shared" ca="1" si="1"/>
        <v>3423</v>
      </c>
      <c r="C42" s="56"/>
      <c r="D42" s="56"/>
      <c r="E42" s="56"/>
      <c r="F42" s="5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54">
        <f t="shared" ca="1" si="0"/>
        <v>45970</v>
      </c>
      <c r="B43" s="55">
        <f t="shared" ca="1" si="1"/>
        <v>3630</v>
      </c>
      <c r="C43" s="56"/>
      <c r="D43" s="56"/>
      <c r="E43" s="56"/>
      <c r="F43" s="5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54">
        <f t="shared" ca="1" si="0"/>
        <v>45955</v>
      </c>
      <c r="B44" s="55">
        <f t="shared" ca="1" si="1"/>
        <v>3773</v>
      </c>
      <c r="C44" s="56"/>
      <c r="D44" s="56"/>
      <c r="E44" s="56"/>
      <c r="F44" s="5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54">
        <f t="shared" ca="1" si="0"/>
        <v>45929</v>
      </c>
      <c r="B45" s="55">
        <f t="shared" ca="1" si="1"/>
        <v>1864</v>
      </c>
      <c r="C45" s="56"/>
      <c r="D45" s="56"/>
      <c r="E45" s="56"/>
      <c r="F45" s="5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54">
        <f t="shared" ca="1" si="0"/>
        <v>45971</v>
      </c>
      <c r="B46" s="55">
        <f t="shared" ca="1" si="1"/>
        <v>1160</v>
      </c>
      <c r="C46" s="56"/>
      <c r="D46" s="56"/>
      <c r="E46" s="56"/>
      <c r="F46" s="5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54">
        <f t="shared" ca="1" si="0"/>
        <v>45971</v>
      </c>
      <c r="B47" s="55">
        <f t="shared" ca="1" si="1"/>
        <v>4432</v>
      </c>
      <c r="C47" s="56"/>
      <c r="D47" s="56"/>
      <c r="E47" s="56"/>
      <c r="F47" s="5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54">
        <f t="shared" ca="1" si="0"/>
        <v>45950</v>
      </c>
      <c r="B48" s="55">
        <f t="shared" ca="1" si="1"/>
        <v>2697</v>
      </c>
      <c r="C48" s="56"/>
      <c r="D48" s="56"/>
      <c r="E48" s="56"/>
      <c r="F48" s="5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54">
        <f t="shared" ca="1" si="0"/>
        <v>45922</v>
      </c>
      <c r="B49" s="55">
        <f t="shared" ca="1" si="1"/>
        <v>2378</v>
      </c>
      <c r="C49" s="56"/>
      <c r="D49" s="56"/>
      <c r="E49" s="56"/>
      <c r="F49" s="5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54">
        <f t="shared" ca="1" si="0"/>
        <v>45962</v>
      </c>
      <c r="B50" s="55">
        <f t="shared" ca="1" si="1"/>
        <v>1992</v>
      </c>
      <c r="C50" s="56"/>
      <c r="D50" s="56"/>
      <c r="E50" s="56"/>
      <c r="F50" s="5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54">
        <f t="shared" ca="1" si="0"/>
        <v>45939</v>
      </c>
      <c r="B51" s="55">
        <f t="shared" ca="1" si="1"/>
        <v>3380</v>
      </c>
      <c r="C51" s="56"/>
      <c r="D51" s="56"/>
      <c r="E51" s="56"/>
      <c r="F51" s="5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54">
        <f t="shared" ca="1" si="0"/>
        <v>45963</v>
      </c>
      <c r="B52" s="55">
        <f t="shared" ca="1" si="1"/>
        <v>2849</v>
      </c>
      <c r="C52" s="56"/>
      <c r="D52" s="56"/>
      <c r="E52" s="56"/>
      <c r="F52" s="5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54">
        <f t="shared" ca="1" si="0"/>
        <v>45924</v>
      </c>
      <c r="B53" s="55">
        <f t="shared" ca="1" si="1"/>
        <v>3503</v>
      </c>
      <c r="C53" s="56"/>
      <c r="D53" s="56"/>
      <c r="E53" s="56"/>
      <c r="F53" s="5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54">
        <f t="shared" ca="1" si="0"/>
        <v>45938</v>
      </c>
      <c r="B54" s="55">
        <f t="shared" ca="1" si="1"/>
        <v>2076</v>
      </c>
      <c r="C54" s="56"/>
      <c r="D54" s="56"/>
      <c r="E54" s="56"/>
      <c r="F54" s="5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54">
        <f t="shared" ca="1" si="0"/>
        <v>45944</v>
      </c>
      <c r="B55" s="55">
        <f t="shared" ca="1" si="1"/>
        <v>3240</v>
      </c>
      <c r="C55" s="56"/>
      <c r="D55" s="56"/>
      <c r="E55" s="56"/>
      <c r="F55" s="5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54">
        <f t="shared" ca="1" si="0"/>
        <v>45943</v>
      </c>
      <c r="B56" s="55">
        <f t="shared" ca="1" si="1"/>
        <v>788</v>
      </c>
      <c r="C56" s="56"/>
      <c r="D56" s="56"/>
      <c r="E56" s="56"/>
      <c r="F56" s="5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54">
        <f t="shared" ca="1" si="0"/>
        <v>45973</v>
      </c>
      <c r="B57" s="55">
        <f t="shared" ca="1" si="1"/>
        <v>2887</v>
      </c>
      <c r="C57" s="56"/>
      <c r="D57" s="56"/>
      <c r="E57" s="56"/>
      <c r="F57" s="5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54">
        <f t="shared" ca="1" si="0"/>
        <v>45970</v>
      </c>
      <c r="B58" s="55">
        <f t="shared" ca="1" si="1"/>
        <v>825</v>
      </c>
      <c r="C58" s="56"/>
      <c r="D58" s="56"/>
      <c r="E58" s="56"/>
      <c r="F58" s="5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54">
        <f t="shared" ca="1" si="0"/>
        <v>45972</v>
      </c>
      <c r="B59" s="55">
        <f t="shared" ca="1" si="1"/>
        <v>871</v>
      </c>
      <c r="C59" s="56"/>
      <c r="D59" s="56"/>
      <c r="E59" s="56"/>
      <c r="F59" s="5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54">
        <f t="shared" ca="1" si="0"/>
        <v>45927</v>
      </c>
      <c r="B60" s="55">
        <f t="shared" ca="1" si="1"/>
        <v>3064</v>
      </c>
      <c r="C60" s="56"/>
      <c r="D60" s="56"/>
      <c r="E60" s="56"/>
      <c r="F60" s="5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54">
        <f t="shared" ca="1" si="0"/>
        <v>45954</v>
      </c>
      <c r="B61" s="55">
        <f t="shared" ca="1" si="1"/>
        <v>4203</v>
      </c>
      <c r="C61" s="56"/>
      <c r="D61" s="56"/>
      <c r="E61" s="56"/>
      <c r="F61" s="5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54">
        <f t="shared" ca="1" si="0"/>
        <v>45960</v>
      </c>
      <c r="B62" s="55">
        <f t="shared" ca="1" si="1"/>
        <v>1198</v>
      </c>
      <c r="C62" s="56"/>
      <c r="D62" s="56"/>
      <c r="E62" s="56"/>
      <c r="F62" s="5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F491"/>
  </sheetPr>
  <dimension ref="A1:Z1000"/>
  <sheetViews>
    <sheetView showGridLines="0" workbookViewId="0"/>
  </sheetViews>
  <sheetFormatPr baseColWidth="10" defaultColWidth="12.5703125" defaultRowHeight="15" customHeight="1" x14ac:dyDescent="0.25"/>
  <cols>
    <col min="1" max="26" width="9.1406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8" t="s">
        <v>66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3">
      <c r="A10" s="6"/>
      <c r="B10" s="6"/>
      <c r="C10" s="75" t="s">
        <v>67</v>
      </c>
      <c r="D10" s="72"/>
      <c r="E10" s="72"/>
      <c r="F10" s="72"/>
      <c r="G10" s="7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76" t="s">
        <v>68</v>
      </c>
      <c r="C11" s="57"/>
      <c r="D11" s="58">
        <v>27</v>
      </c>
      <c r="E11" s="58">
        <v>48</v>
      </c>
      <c r="F11" s="58">
        <v>59</v>
      </c>
      <c r="G11" s="58">
        <v>90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45">
      <c r="A12" s="6"/>
      <c r="B12" s="72"/>
      <c r="C12" s="58">
        <v>64</v>
      </c>
      <c r="D12" s="59"/>
      <c r="E12" s="59"/>
      <c r="F12" s="59"/>
      <c r="G12" s="5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45">
      <c r="A13" s="6"/>
      <c r="B13" s="72"/>
      <c r="C13" s="58">
        <v>70</v>
      </c>
      <c r="D13" s="59"/>
      <c r="E13" s="59"/>
      <c r="F13" s="59"/>
      <c r="G13" s="5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45">
      <c r="A14" s="6"/>
      <c r="B14" s="72"/>
      <c r="C14" s="58">
        <v>80</v>
      </c>
      <c r="D14" s="59"/>
      <c r="E14" s="59"/>
      <c r="F14" s="59"/>
      <c r="G14" s="5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45">
      <c r="A15" s="6"/>
      <c r="B15" s="72"/>
      <c r="C15" s="58">
        <v>90</v>
      </c>
      <c r="D15" s="59"/>
      <c r="E15" s="59"/>
      <c r="F15" s="59"/>
      <c r="G15" s="5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45">
      <c r="A16" s="6"/>
      <c r="B16" s="72"/>
      <c r="C16" s="58">
        <v>120</v>
      </c>
      <c r="D16" s="59"/>
      <c r="E16" s="59"/>
      <c r="F16" s="59"/>
      <c r="G16" s="5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C10:G10"/>
    <mergeCell ref="B11:B1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15.42578125" customWidth="1"/>
    <col min="3" max="3" width="20" customWidth="1"/>
    <col min="4" max="4" width="23.28515625" customWidth="1"/>
    <col min="5" max="5" width="19.85546875" customWidth="1"/>
    <col min="6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0" t="s">
        <v>69</v>
      </c>
      <c r="C9" s="60" t="s">
        <v>70</v>
      </c>
      <c r="D9" s="60" t="s">
        <v>71</v>
      </c>
      <c r="E9" s="60" t="s">
        <v>72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1">
        <v>50</v>
      </c>
      <c r="C10" s="62" t="s">
        <v>73</v>
      </c>
      <c r="D10" s="63">
        <v>355</v>
      </c>
      <c r="E10" s="64">
        <f t="shared" ref="E10:E17" si="0">D10*B10</f>
        <v>17750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1">
        <v>35</v>
      </c>
      <c r="C11" s="62" t="s">
        <v>74</v>
      </c>
      <c r="D11" s="63">
        <v>122</v>
      </c>
      <c r="E11" s="64">
        <f t="shared" si="0"/>
        <v>4270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1">
        <v>15</v>
      </c>
      <c r="C12" s="62" t="s">
        <v>75</v>
      </c>
      <c r="D12" s="63">
        <v>124</v>
      </c>
      <c r="E12" s="64">
        <f t="shared" si="0"/>
        <v>1860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61">
        <v>12</v>
      </c>
      <c r="C13" s="62" t="s">
        <v>76</v>
      </c>
      <c r="D13" s="63">
        <v>56</v>
      </c>
      <c r="E13" s="64">
        <f t="shared" si="0"/>
        <v>672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1">
        <v>18</v>
      </c>
      <c r="C14" s="62" t="s">
        <v>77</v>
      </c>
      <c r="D14" s="63">
        <v>127</v>
      </c>
      <c r="E14" s="64">
        <f t="shared" si="0"/>
        <v>2286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1">
        <v>25</v>
      </c>
      <c r="C15" s="62" t="s">
        <v>78</v>
      </c>
      <c r="D15" s="63">
        <v>67</v>
      </c>
      <c r="E15" s="64">
        <f t="shared" si="0"/>
        <v>1675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1">
        <v>15</v>
      </c>
      <c r="C16" s="62" t="s">
        <v>79</v>
      </c>
      <c r="D16" s="63">
        <v>172</v>
      </c>
      <c r="E16" s="64">
        <f t="shared" si="0"/>
        <v>2580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1">
        <v>18</v>
      </c>
      <c r="C17" s="62" t="s">
        <v>80</v>
      </c>
      <c r="D17" s="63">
        <v>135</v>
      </c>
      <c r="E17" s="64">
        <f t="shared" si="0"/>
        <v>2430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6"/>
      <c r="C18" s="36"/>
      <c r="D18" s="36"/>
      <c r="E18" s="3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6"/>
      <c r="C19" s="36"/>
      <c r="D19" s="36"/>
      <c r="E19" s="3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36"/>
      <c r="C20" s="36"/>
      <c r="D20" s="65" t="s">
        <v>81</v>
      </c>
      <c r="E20" s="6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36"/>
      <c r="C21" s="36"/>
      <c r="D21" s="67" t="s">
        <v>82</v>
      </c>
      <c r="E21" s="6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36"/>
      <c r="C22" s="36"/>
      <c r="D22" s="67" t="s">
        <v>83</v>
      </c>
      <c r="E22" s="6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36"/>
      <c r="C23" s="36"/>
      <c r="D23" s="68" t="s">
        <v>84</v>
      </c>
      <c r="E23" s="6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6">
      <c r="A27" s="6"/>
      <c r="B27" s="6"/>
      <c r="C27" s="6"/>
      <c r="D27" s="70" t="s">
        <v>85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</vt:lpstr>
      <vt:lpstr>Operadores Básicos</vt:lpstr>
      <vt:lpstr>Referencias</vt:lpstr>
      <vt:lpstr>Comisiones de Ventas</vt:lpstr>
      <vt:lpstr>Areas</vt:lpstr>
      <vt:lpstr>Jerarquía Operadores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2025-11-16T04:43:20Z</dcterms:modified>
</cp:coreProperties>
</file>